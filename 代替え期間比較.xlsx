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<sst xmlns="http://schemas.openxmlformats.org/spreadsheetml/2006/main" count="22" uniqueCount="21">
  <si>
    <t>新車購入価格</t>
  </si>
  <si>
    <t>5年後残価</t>
  </si>
  <si>
    <t>5年目購入価格</t>
  </si>
  <si>
    <t>10年後購入価格</t>
  </si>
  <si>
    <t>項目</t>
  </si>
  <si>
    <t>新車</t>
  </si>
  <si>
    <t>中古車</t>
  </si>
  <si>
    <t>列 1</t>
  </si>
  <si>
    <t>10年1台</t>
  </si>
  <si>
    <t>10年2台</t>
  </si>
  <si>
    <t>車検整備費用</t>
  </si>
  <si>
    <t>車検法定費用</t>
  </si>
  <si>
    <t>定期点検費用</t>
  </si>
  <si>
    <t>タイヤ交換</t>
  </si>
  <si>
    <t>バッテリー交換</t>
  </si>
  <si>
    <t>一般整備費用年額</t>
  </si>
  <si>
    <t>自動車税年額</t>
  </si>
  <si>
    <t>合計</t>
  </si>
  <si>
    <t>合計差額</t>
  </si>
  <si>
    <t>年間維持費</t>
  </si>
  <si>
    <t>年間維持費差額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</si>
</sst>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Font="1" applyNumberFormat="1"/>
    <xf borderId="0" fillId="0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シート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シート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F15:H22" displayName="維持費" name="維持費" id="1">
  <tableColumns count="3">
    <tableColumn name="項目" id="1"/>
    <tableColumn name="新車" id="2"/>
    <tableColumn name="中古車" id="3"/>
  </tableColumns>
  <tableStyleInfo name="シート1-style" showColumnStripes="0" showFirstColumn="1" showLastColumn="1" showRowStripes="1"/>
</table>
</file>

<file path=xl/tables/table2.xml><?xml version="1.0" encoding="utf-8"?>
<table xmlns="http://schemas.openxmlformats.org/spreadsheetml/2006/main" ref="J15:L30" displayName="表_1" name="表_1" id="2">
  <tableColumns count="3">
    <tableColumn name="列 1" id="1"/>
    <tableColumn name="10年1台" id="2"/>
    <tableColumn name="10年2台" id="3"/>
  </tableColumns>
  <tableStyleInfo name="シート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63"/>
    <col customWidth="1" min="11" max="12" width="14.88"/>
  </cols>
  <sheetData>
    <row r="1">
      <c r="A1" s="1"/>
      <c r="B1" s="2"/>
      <c r="C1" s="2"/>
    </row>
    <row r="2">
      <c r="A2" s="1"/>
      <c r="B2" s="2"/>
      <c r="C2" s="2"/>
    </row>
    <row r="3">
      <c r="A3" s="1"/>
      <c r="B3" s="2"/>
      <c r="C3" s="2"/>
    </row>
    <row r="4">
      <c r="B4" s="2"/>
      <c r="C4" s="2"/>
    </row>
    <row r="5">
      <c r="A5" s="3"/>
      <c r="B5" s="2"/>
      <c r="C5" s="2"/>
      <c r="E5" s="1" t="s">
        <v>0</v>
      </c>
      <c r="F5" s="1">
        <v>2700000.0</v>
      </c>
    </row>
    <row r="6">
      <c r="B6" s="2"/>
      <c r="C6" s="2"/>
      <c r="E6" s="1" t="s">
        <v>1</v>
      </c>
      <c r="F6" s="1">
        <v>1300000.0</v>
      </c>
    </row>
    <row r="7">
      <c r="B7" s="4"/>
      <c r="C7" s="4"/>
      <c r="F7" s="5"/>
    </row>
    <row r="8">
      <c r="B8" s="2"/>
      <c r="C8" s="2"/>
      <c r="E8" s="1" t="s">
        <v>2</v>
      </c>
      <c r="F8" s="1">
        <v>2700000.0</v>
      </c>
    </row>
    <row r="9">
      <c r="B9" s="4"/>
      <c r="C9" s="4"/>
      <c r="E9" s="1" t="s">
        <v>1</v>
      </c>
      <c r="F9" s="1">
        <v>1300000.0</v>
      </c>
    </row>
    <row r="10">
      <c r="B10" s="2"/>
      <c r="C10" s="2"/>
    </row>
    <row r="11">
      <c r="B11" s="4"/>
      <c r="C11" s="4"/>
      <c r="E11" s="1" t="s">
        <v>3</v>
      </c>
      <c r="F11" s="1">
        <v>2700000.0</v>
      </c>
    </row>
    <row r="12">
      <c r="B12" s="2"/>
      <c r="C12" s="2"/>
    </row>
    <row r="13">
      <c r="B13" s="4"/>
      <c r="C13" s="2"/>
    </row>
    <row r="14">
      <c r="B14" s="2"/>
      <c r="C14" s="4"/>
    </row>
    <row r="15" ht="22.5" customHeight="1">
      <c r="B15" s="2"/>
      <c r="C15" s="2"/>
      <c r="F15" s="6" t="s">
        <v>4</v>
      </c>
      <c r="G15" s="6" t="s">
        <v>5</v>
      </c>
      <c r="H15" s="6" t="s">
        <v>6</v>
      </c>
      <c r="J15" s="6" t="s">
        <v>7</v>
      </c>
      <c r="K15" s="7" t="s">
        <v>8</v>
      </c>
      <c r="L15" s="7" t="s">
        <v>9</v>
      </c>
    </row>
    <row r="16" ht="22.5" customHeight="1">
      <c r="A16" s="1"/>
      <c r="B16" s="2"/>
      <c r="C16" s="2"/>
      <c r="F16" s="8" t="s">
        <v>10</v>
      </c>
      <c r="G16" s="8">
        <v>50000.0</v>
      </c>
      <c r="H16" s="8">
        <v>50000.0</v>
      </c>
      <c r="J16" s="8">
        <v>0.0</v>
      </c>
      <c r="K16" s="9">
        <f>F5</f>
        <v>2700000</v>
      </c>
      <c r="L16" s="9">
        <f>F5</f>
        <v>2700000</v>
      </c>
    </row>
    <row r="17" ht="22.5" customHeight="1">
      <c r="F17" s="8" t="s">
        <v>11</v>
      </c>
      <c r="G17" s="8">
        <v>40000.0</v>
      </c>
      <c r="H17" s="8">
        <v>40000.0</v>
      </c>
      <c r="J17" s="8">
        <v>1.0</v>
      </c>
      <c r="K17" s="9">
        <f t="shared" ref="K17:L17" si="1">sum(G18)</f>
        <v>30000</v>
      </c>
      <c r="L17" s="9">
        <f t="shared" si="1"/>
        <v>30000</v>
      </c>
    </row>
    <row r="18" ht="22.5" customHeight="1">
      <c r="F18" s="8" t="s">
        <v>12</v>
      </c>
      <c r="G18" s="8">
        <v>30000.0</v>
      </c>
      <c r="H18" s="8">
        <v>30000.0</v>
      </c>
      <c r="J18" s="8">
        <v>2.0</v>
      </c>
      <c r="K18" s="9">
        <f t="shared" ref="K18:L18" si="2">sum(G18)</f>
        <v>30000</v>
      </c>
      <c r="L18" s="9">
        <f t="shared" si="2"/>
        <v>30000</v>
      </c>
    </row>
    <row r="19" ht="22.5" customHeight="1">
      <c r="F19" s="8" t="s">
        <v>13</v>
      </c>
      <c r="G19" s="8">
        <v>100000.0</v>
      </c>
      <c r="H19" s="8">
        <v>100000.0</v>
      </c>
      <c r="J19" s="8">
        <v>3.0</v>
      </c>
      <c r="K19" s="9">
        <f t="shared" ref="K19:L19" si="3">sum(G16,G17,G20)</f>
        <v>115000</v>
      </c>
      <c r="L19" s="9">
        <f t="shared" si="3"/>
        <v>115000</v>
      </c>
    </row>
    <row r="20" ht="22.5" customHeight="1">
      <c r="F20" s="8" t="s">
        <v>14</v>
      </c>
      <c r="G20" s="8">
        <v>25000.0</v>
      </c>
      <c r="H20" s="8">
        <v>25000.0</v>
      </c>
      <c r="J20" s="8">
        <v>4.0</v>
      </c>
      <c r="K20" s="10">
        <f t="shared" ref="K20:L20" si="4">sum(G18)</f>
        <v>30000</v>
      </c>
      <c r="L20" s="10">
        <f t="shared" si="4"/>
        <v>30000</v>
      </c>
    </row>
    <row r="21" ht="22.5" customHeight="1">
      <c r="F21" s="8" t="s">
        <v>15</v>
      </c>
      <c r="G21" s="8">
        <v>30000.0</v>
      </c>
      <c r="H21" s="8">
        <v>30000.0</v>
      </c>
      <c r="J21" s="8">
        <v>5.0</v>
      </c>
      <c r="K21" s="9">
        <f>sum(G16,G17,G19)</f>
        <v>190000</v>
      </c>
      <c r="L21" s="9">
        <f>F8-F6</f>
        <v>1400000</v>
      </c>
    </row>
    <row r="22" ht="22.5" customHeight="1">
      <c r="F22" s="8" t="s">
        <v>16</v>
      </c>
      <c r="G22" s="8">
        <v>36000.0</v>
      </c>
      <c r="H22" s="8">
        <v>36000.0</v>
      </c>
      <c r="J22" s="8">
        <v>6.0</v>
      </c>
      <c r="K22" s="10">
        <f>SUM(G18,G20,G21)</f>
        <v>85000</v>
      </c>
      <c r="L22" s="10">
        <f>sum(H18)</f>
        <v>30000</v>
      </c>
    </row>
    <row r="23" ht="22.5" customHeight="1">
      <c r="J23" s="8">
        <v>7.0</v>
      </c>
      <c r="K23" s="9">
        <f>SUM(G16,G17,G21)</f>
        <v>120000</v>
      </c>
      <c r="L23" s="9">
        <f>sum(H18)</f>
        <v>30000</v>
      </c>
    </row>
    <row r="24" ht="22.5" customHeight="1">
      <c r="J24" s="8">
        <v>8.0</v>
      </c>
      <c r="K24" s="10">
        <f>sum(G18,G21)</f>
        <v>60000</v>
      </c>
      <c r="L24" s="9">
        <f>sum(H16,H17,H20)</f>
        <v>115000</v>
      </c>
    </row>
    <row r="25" ht="22.5" customHeight="1">
      <c r="J25" s="8">
        <v>9.0</v>
      </c>
      <c r="K25" s="9">
        <f>sum(G16,G17,G21)</f>
        <v>120000</v>
      </c>
      <c r="L25" s="10">
        <f>sum(H18)</f>
        <v>30000</v>
      </c>
    </row>
    <row r="26" ht="22.5" customHeight="1">
      <c r="J26" s="8">
        <v>10.0</v>
      </c>
      <c r="K26" s="9">
        <f>F11</f>
        <v>2700000</v>
      </c>
      <c r="L26" s="9">
        <f>F11-F9</f>
        <v>1400000</v>
      </c>
    </row>
    <row r="27" ht="22.5" customHeight="1">
      <c r="J27" s="11" t="s">
        <v>17</v>
      </c>
      <c r="K27" s="12">
        <f t="shared" ref="K27:L27" si="5">SUM(K16:K26)</f>
        <v>6180000</v>
      </c>
      <c r="L27" s="12">
        <f t="shared" si="5"/>
        <v>5910000</v>
      </c>
    </row>
    <row r="28" ht="22.5" customHeight="1">
      <c r="J28" s="11" t="s">
        <v>18</v>
      </c>
      <c r="K28" s="12">
        <f>L27-K27</f>
        <v>-270000</v>
      </c>
      <c r="L28" s="12">
        <v>0.0</v>
      </c>
    </row>
    <row r="29" ht="22.5" customHeight="1">
      <c r="J29" s="11" t="s">
        <v>19</v>
      </c>
      <c r="K29" s="12">
        <f>K27/J26</f>
        <v>618000</v>
      </c>
      <c r="L29" s="12">
        <f>L27/J26</f>
        <v>591000</v>
      </c>
    </row>
    <row r="30" ht="22.5" customHeight="1">
      <c r="J30" s="11" t="s">
        <v>20</v>
      </c>
      <c r="K30" s="12"/>
      <c r="L30" s="12">
        <f>L29-K29</f>
        <v>-27000</v>
      </c>
    </row>
  </sheetData>
  <dataValidations>
    <dataValidation type="custom" allowBlank="1" showDropDown="1" sqref="K16:L30">
      <formula1>AND(ISNUMBER(K16),(NOT(OR(NOT(ISERROR(DATEVALUE(K16))), AND(ISNUMBER(K16), LEFT(CELL("format", K16))="D")))))</formula1>
    </dataValidation>
  </dataValidations>
  <drawing r:id="rId1"/>
  <tableParts count="2">
    <tablePart r:id="rId4"/>
    <tablePart r:id="rId5"/>
  </tableParts>
</worksheet>
</file>